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4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aniiboonny/Downloads/"/>
    </mc:Choice>
  </mc:AlternateContent>
  <bookViews>
    <workbookView xWindow="4420" yWindow="2640" windowWidth="31540" windowHeight="17420" tabRatio="500"/>
  </bookViews>
  <sheets>
    <sheet name="Hoja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0" i="1" l="1"/>
  <c r="J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J19" i="1"/>
  <c r="J3" i="1"/>
  <c r="J4" i="1"/>
  <c r="J5" i="1"/>
  <c r="J6" i="1"/>
  <c r="J7" i="1"/>
  <c r="J8" i="1"/>
  <c r="J9" i="1"/>
  <c r="J11" i="1"/>
  <c r="J12" i="1"/>
  <c r="J13" i="1"/>
  <c r="J14" i="1"/>
  <c r="J16" i="1"/>
  <c r="J17" i="1"/>
  <c r="J18" i="1"/>
</calcChain>
</file>

<file path=xl/sharedStrings.xml><?xml version="1.0" encoding="utf-8"?>
<sst xmlns="http://schemas.openxmlformats.org/spreadsheetml/2006/main" count="122" uniqueCount="118">
  <si>
    <t>NOMBRE</t>
  </si>
  <si>
    <t>PATERNO</t>
  </si>
  <si>
    <t>MATERNO</t>
  </si>
  <si>
    <t>ANA PAULA</t>
  </si>
  <si>
    <t>MEDINA</t>
  </si>
  <si>
    <t>VARGAS</t>
  </si>
  <si>
    <t>BEATRIZ</t>
  </si>
  <si>
    <t>ALEJANDRE</t>
  </si>
  <si>
    <t>SAUCEDO</t>
  </si>
  <si>
    <t>CECILIA IVETTE</t>
  </si>
  <si>
    <t>ORTIZ</t>
  </si>
  <si>
    <t>DIAZ</t>
  </si>
  <si>
    <t>CHANTAL</t>
  </si>
  <si>
    <t>BRETON</t>
  </si>
  <si>
    <t>CIRETT</t>
  </si>
  <si>
    <t>GUTIERREZ</t>
  </si>
  <si>
    <t>RODRIGUEZ</t>
  </si>
  <si>
    <t>JULIO CESAR</t>
  </si>
  <si>
    <t>TORRES</t>
  </si>
  <si>
    <t>LETICIA</t>
  </si>
  <si>
    <t>SANTOS</t>
  </si>
  <si>
    <t>ALVAREZ</t>
  </si>
  <si>
    <t>LISSETTE MARTHA</t>
  </si>
  <si>
    <t>IBARRA</t>
  </si>
  <si>
    <t>MARCELA MIRIELA</t>
  </si>
  <si>
    <t>HUERTA</t>
  </si>
  <si>
    <t>BIBBINS</t>
  </si>
  <si>
    <t>SELENE JOSEFINA</t>
  </si>
  <si>
    <t>CORTÉS</t>
  </si>
  <si>
    <t>ARIZMENDI</t>
  </si>
  <si>
    <t>FECHA NAC</t>
  </si>
  <si>
    <t xml:space="preserve">USUARIO </t>
  </si>
  <si>
    <t>PASSWORD</t>
  </si>
  <si>
    <t>amedina</t>
  </si>
  <si>
    <t>cortiz</t>
  </si>
  <si>
    <t>93UEIA</t>
  </si>
  <si>
    <t>cbreton</t>
  </si>
  <si>
    <t>O459ET</t>
  </si>
  <si>
    <t>jdiaz</t>
  </si>
  <si>
    <t>H225RE</t>
  </si>
  <si>
    <t>lsantos</t>
  </si>
  <si>
    <t>REZ898</t>
  </si>
  <si>
    <t>libarra</t>
  </si>
  <si>
    <t>R54891</t>
  </si>
  <si>
    <t>mhuerta</t>
  </si>
  <si>
    <t>RTRA22</t>
  </si>
  <si>
    <t>balejandre</t>
  </si>
  <si>
    <t>HJKRT5</t>
  </si>
  <si>
    <t>4YWFC</t>
  </si>
  <si>
    <t>ESPINOSA</t>
  </si>
  <si>
    <t>mgutierrez</t>
  </si>
  <si>
    <t>scortes</t>
  </si>
  <si>
    <t xml:space="preserve">EDITH </t>
  </si>
  <si>
    <t xml:space="preserve">ROJAS </t>
  </si>
  <si>
    <t>CORTE</t>
  </si>
  <si>
    <t>erojas</t>
  </si>
  <si>
    <t>O4FEFT</t>
  </si>
  <si>
    <t xml:space="preserve">FAUSTIN </t>
  </si>
  <si>
    <t xml:space="preserve">PIERRE </t>
  </si>
  <si>
    <t>fpierre</t>
  </si>
  <si>
    <t>X925DS</t>
  </si>
  <si>
    <t xml:space="preserve">MICHELLE </t>
  </si>
  <si>
    <t xml:space="preserve">CARPIO </t>
  </si>
  <si>
    <t>GONZÁLEZ</t>
  </si>
  <si>
    <t>mcarpio</t>
  </si>
  <si>
    <t>R6G46G</t>
  </si>
  <si>
    <t>7WSJ5WPA1X</t>
  </si>
  <si>
    <t>MANUEL</t>
  </si>
  <si>
    <t>NLSDF9</t>
  </si>
  <si>
    <t xml:space="preserve">HILDA BERTA </t>
  </si>
  <si>
    <t>ABURTO</t>
  </si>
  <si>
    <t>BOHNE</t>
  </si>
  <si>
    <t>haburto</t>
  </si>
  <si>
    <t>F654DT</t>
  </si>
  <si>
    <t xml:space="preserve">ARTIE SERGYL </t>
  </si>
  <si>
    <t xml:space="preserve">TAMEZ </t>
  </si>
  <si>
    <t>MORENO</t>
  </si>
  <si>
    <t>atamez</t>
  </si>
  <si>
    <t>5467DSF</t>
  </si>
  <si>
    <t xml:space="preserve">LUIS RODRIGO </t>
  </si>
  <si>
    <t xml:space="preserve">REYES </t>
  </si>
  <si>
    <t>LEMUS</t>
  </si>
  <si>
    <t>lreyes</t>
  </si>
  <si>
    <t>65ASD5</t>
  </si>
  <si>
    <t>GÁNDARA</t>
  </si>
  <si>
    <t xml:space="preserve">GODÍNEZ </t>
  </si>
  <si>
    <t xml:space="preserve">LUIS ALEJANDRO </t>
  </si>
  <si>
    <t>lgandara</t>
  </si>
  <si>
    <t>98YSLJ</t>
  </si>
  <si>
    <t>Coord</t>
  </si>
  <si>
    <t>1° inglés</t>
  </si>
  <si>
    <t>1° español</t>
  </si>
  <si>
    <t>2° inglés</t>
  </si>
  <si>
    <t>2° español</t>
  </si>
  <si>
    <t>3° español</t>
  </si>
  <si>
    <t>3° inglés</t>
  </si>
  <si>
    <t>4° inglés</t>
  </si>
  <si>
    <t>6° inglés</t>
  </si>
  <si>
    <t>5° inglés</t>
  </si>
  <si>
    <t>4° español</t>
  </si>
  <si>
    <t>5° español</t>
  </si>
  <si>
    <t>6° español</t>
  </si>
  <si>
    <t>Francés</t>
  </si>
  <si>
    <t>PE</t>
  </si>
  <si>
    <t>Música</t>
  </si>
  <si>
    <t>INSERT INTO usuarios_boletas(nombre, username, pwd, date_start, allow_edit, allow_add, allow_view, allow_materias, allow_publish, allow_admin) VALUES(</t>
  </si>
  <si>
    <t>ID</t>
  </si>
  <si>
    <t>INSERT INTO permisos_boletas (idUsuario, grado, idMateria)</t>
  </si>
  <si>
    <t>KAREN</t>
  </si>
  <si>
    <t>ROSAS</t>
  </si>
  <si>
    <t>CRUZ</t>
  </si>
  <si>
    <t>krosas</t>
  </si>
  <si>
    <t>UI546GD</t>
  </si>
  <si>
    <t>Robótica</t>
  </si>
  <si>
    <t>Business</t>
  </si>
  <si>
    <t>LORENA</t>
  </si>
  <si>
    <t>ltorres</t>
  </si>
  <si>
    <t>346FDS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</si>
</sst>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2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/>
  </cellStyleXfs>
  <cellXfs count="32">
    <xf numFmtId="0" fontId="0" fillId="0" borderId="0" xfId="0"/>
    <xf numFmtId="0" fontId="10" fillId="0" borderId="1" xfId="0" applyNumberFormat="1" applyFont="1" applyFill="1" applyBorder="1" applyAlignment="1">
      <alignment horizontal="center" wrapText="1"/>
    </xf>
    <xf numFmtId="14" fontId="10" fillId="0" borderId="1" xfId="0" applyNumberFormat="1" applyFont="1" applyFill="1" applyBorder="1" applyAlignment="1">
      <alignment horizontal="center"/>
    </xf>
    <xf numFmtId="0" fontId="11" fillId="0" borderId="1" xfId="1" applyFont="1" applyFill="1" applyBorder="1"/>
    <xf numFmtId="0" fontId="11" fillId="0" borderId="1" xfId="1" applyFont="1" applyFill="1" applyBorder="1" applyAlignment="1">
      <alignment horizontal="left"/>
    </xf>
    <xf numFmtId="0" fontId="12" fillId="0" borderId="0" xfId="0" applyFont="1"/>
    <xf numFmtId="0" fontId="13" fillId="0" borderId="1" xfId="0" applyNumberFormat="1" applyFont="1" applyFill="1" applyBorder="1" applyAlignment="1">
      <alignment horizontal="left"/>
    </xf>
    <xf numFmtId="14" fontId="13" fillId="0" borderId="1" xfId="0" applyNumberFormat="1" applyFont="1" applyFill="1" applyBorder="1" applyAlignment="1">
      <alignment horizontal="center"/>
    </xf>
    <xf numFmtId="0" fontId="12" fillId="0" borderId="1" xfId="0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>
      <alignment horizontal="left"/>
    </xf>
    <xf numFmtId="0" fontId="13" fillId="2" borderId="1" xfId="0" applyNumberFormat="1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center"/>
    </xf>
    <xf numFmtId="0" fontId="14" fillId="2" borderId="1" xfId="1" applyFont="1" applyFill="1" applyBorder="1"/>
    <xf numFmtId="0" fontId="14" fillId="2" borderId="1" xfId="1" applyFont="1" applyFill="1" applyBorder="1" applyAlignment="1">
      <alignment horizontal="left"/>
    </xf>
    <xf numFmtId="14" fontId="13" fillId="0" borderId="1" xfId="34" applyNumberFormat="1" applyFont="1" applyFill="1" applyBorder="1" applyAlignment="1">
      <alignment horizontal="center"/>
    </xf>
    <xf numFmtId="0" fontId="13" fillId="0" borderId="1" xfId="1" applyFont="1" applyFill="1" applyBorder="1"/>
    <xf numFmtId="0" fontId="13" fillId="0" borderId="1" xfId="1" applyFont="1" applyFill="1" applyBorder="1" applyAlignment="1">
      <alignment horizontal="left"/>
    </xf>
    <xf numFmtId="0" fontId="14" fillId="0" borderId="1" xfId="7" applyFont="1" applyFill="1" applyBorder="1"/>
    <xf numFmtId="0" fontId="14" fillId="0" borderId="1" xfId="7" applyFont="1" applyFill="1" applyBorder="1" applyAlignment="1">
      <alignment horizontal="left"/>
    </xf>
    <xf numFmtId="0" fontId="15" fillId="2" borderId="1" xfId="1" applyFont="1" applyFill="1" applyBorder="1" applyAlignment="1">
      <alignment horizontal="left" vertical="center"/>
    </xf>
    <xf numFmtId="0" fontId="13" fillId="0" borderId="1" xfId="34" applyNumberFormat="1" applyFont="1" applyFill="1" applyBorder="1" applyAlignment="1">
      <alignment horizontal="left"/>
    </xf>
    <xf numFmtId="0" fontId="13" fillId="2" borderId="1" xfId="34" applyNumberFormat="1" applyFont="1" applyFill="1" applyBorder="1" applyAlignment="1">
      <alignment horizontal="left"/>
    </xf>
    <xf numFmtId="14" fontId="13" fillId="2" borderId="1" xfId="34" applyNumberFormat="1" applyFont="1" applyFill="1" applyBorder="1" applyAlignment="1">
      <alignment horizontal="center"/>
    </xf>
    <xf numFmtId="0" fontId="14" fillId="0" borderId="1" xfId="9" applyFont="1" applyFill="1" applyBorder="1" applyAlignment="1">
      <alignment horizontal="left"/>
    </xf>
    <xf numFmtId="0" fontId="13" fillId="0" borderId="0" xfId="0" applyNumberFormat="1" applyFont="1" applyFill="1" applyBorder="1" applyAlignment="1">
      <alignment horizontal="left"/>
    </xf>
    <xf numFmtId="14" fontId="13" fillId="0" borderId="0" xfId="0" applyNumberFormat="1" applyFont="1" applyFill="1" applyBorder="1" applyAlignment="1">
      <alignment horizontal="center"/>
    </xf>
    <xf numFmtId="0" fontId="0" fillId="0" borderId="0" xfId="0" applyFont="1"/>
    <xf numFmtId="0" fontId="1" fillId="0" borderId="0" xfId="0" applyFont="1" applyFill="1"/>
    <xf numFmtId="0" fontId="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1" xfId="0" applyFont="1" applyFill="1" applyBorder="1"/>
  </cellXfs>
  <cellStyles count="72">
    <cellStyle name="Currency 2" xfId="2"/>
    <cellStyle name="Currency 2 2" xfId="4"/>
    <cellStyle name="Currency 2 2 2" xfId="11"/>
    <cellStyle name="Currency 2 2 2 2" xfId="33"/>
    <cellStyle name="Currency 2 2 2 2 2" xfId="70"/>
    <cellStyle name="Currency 2 2 2 3" xfId="22"/>
    <cellStyle name="Currency 2 2 2 3 2" xfId="59"/>
    <cellStyle name="Currency 2 2 2 4" xfId="48"/>
    <cellStyle name="Currency 2 2 3" xfId="26"/>
    <cellStyle name="Currency 2 2 3 2" xfId="63"/>
    <cellStyle name="Currency 2 2 4" xfId="15"/>
    <cellStyle name="Currency 2 2 4 2" xfId="52"/>
    <cellStyle name="Currency 2 2 5" xfId="39"/>
    <cellStyle name="Currency 2 3" xfId="6"/>
    <cellStyle name="Currency 2 3 2" xfId="28"/>
    <cellStyle name="Currency 2 3 2 2" xfId="65"/>
    <cellStyle name="Currency 2 3 3" xfId="17"/>
    <cellStyle name="Currency 2 3 3 2" xfId="54"/>
    <cellStyle name="Currency 2 3 4" xfId="43"/>
    <cellStyle name="Currency 2 4" xfId="8"/>
    <cellStyle name="Currency 2 4 2" xfId="30"/>
    <cellStyle name="Currency 2 4 2 2" xfId="67"/>
    <cellStyle name="Currency 2 4 3" xfId="19"/>
    <cellStyle name="Currency 2 4 3 2" xfId="56"/>
    <cellStyle name="Currency 2 4 4" xfId="45"/>
    <cellStyle name="Currency 2 5" xfId="24"/>
    <cellStyle name="Currency 2 5 2" xfId="61"/>
    <cellStyle name="Currency 2 6" xfId="13"/>
    <cellStyle name="Currency 2 6 2" xfId="50"/>
    <cellStyle name="Currency 2 7" xfId="38"/>
    <cellStyle name="Currency 3" xfId="35"/>
    <cellStyle name="Normal" xfId="0" builtinId="0"/>
    <cellStyle name="Normal 2" xfId="1"/>
    <cellStyle name="Normal 2 2" xfId="3"/>
    <cellStyle name="Normal 2 2 2" xfId="10"/>
    <cellStyle name="Normal 2 2 2 2" xfId="32"/>
    <cellStyle name="Normal 2 2 2 2 2" xfId="69"/>
    <cellStyle name="Normal 2 2 2 3" xfId="21"/>
    <cellStyle name="Normal 2 2 2 3 2" xfId="58"/>
    <cellStyle name="Normal 2 2 2 4" xfId="47"/>
    <cellStyle name="Normal 2 2 3" xfId="25"/>
    <cellStyle name="Normal 2 2 3 2" xfId="62"/>
    <cellStyle name="Normal 2 2 4" xfId="14"/>
    <cellStyle name="Normal 2 2 4 2" xfId="51"/>
    <cellStyle name="Normal 2 2 5" xfId="41"/>
    <cellStyle name="Normal 2 3" xfId="9"/>
    <cellStyle name="Normal 2 3 2" xfId="31"/>
    <cellStyle name="Normal 2 3 2 2" xfId="68"/>
    <cellStyle name="Normal 2 3 3" xfId="20"/>
    <cellStyle name="Normal 2 3 3 2" xfId="57"/>
    <cellStyle name="Normal 2 3 4" xfId="46"/>
    <cellStyle name="Normal 2 4" xfId="23"/>
    <cellStyle name="Normal 2 4 2" xfId="60"/>
    <cellStyle name="Normal 2 5" xfId="12"/>
    <cellStyle name="Normal 2 5 2" xfId="49"/>
    <cellStyle name="Normal 2 6" xfId="36"/>
    <cellStyle name="Normal 2 7" xfId="40"/>
    <cellStyle name="Normal 3" xfId="5"/>
    <cellStyle name="Normal 3 2" xfId="27"/>
    <cellStyle name="Normal 3 2 2" xfId="64"/>
    <cellStyle name="Normal 3 3" xfId="16"/>
    <cellStyle name="Normal 3 3 2" xfId="53"/>
    <cellStyle name="Normal 3 4" xfId="42"/>
    <cellStyle name="Normal 4" xfId="7"/>
    <cellStyle name="Normal 4 2" xfId="29"/>
    <cellStyle name="Normal 4 2 2" xfId="66"/>
    <cellStyle name="Normal 4 3" xfId="18"/>
    <cellStyle name="Normal 4 3 2" xfId="55"/>
    <cellStyle name="Normal 4 4" xfId="44"/>
    <cellStyle name="Normal 5" xfId="34"/>
    <cellStyle name="Normal 5 2" xfId="71"/>
    <cellStyle name="Porcentual 2" xfId="3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8" sqref="A8"/>
    </sheetView>
  </sheetViews>
  <sheetFormatPr baseColWidth="10" defaultColWidth="9" defaultRowHeight="16" x14ac:dyDescent="0.2"/>
  <cols>
    <col min="1" max="1" width="79.33203125" style="30" customWidth="1"/>
    <col min="2" max="2" width="4.83203125" style="5" customWidth="1"/>
    <col min="3" max="3" width="12.6640625" style="5" customWidth="1"/>
    <col min="4" max="4" width="18.5" style="25" bestFit="1" customWidth="1"/>
    <col min="5" max="5" width="20.6640625" style="25" customWidth="1"/>
    <col min="6" max="6" width="13.5" style="25" customWidth="1"/>
    <col min="7" max="7" width="11.1640625" style="26" bestFit="1" customWidth="1"/>
    <col min="8" max="8" width="13.83203125" style="5" customWidth="1"/>
    <col min="9" max="9" width="20.83203125" style="5" customWidth="1"/>
    <col min="10" max="16384" width="9" style="5"/>
  </cols>
  <sheetData>
    <row r="1" spans="1:10" x14ac:dyDescent="0.2">
      <c r="A1" s="29" t="s">
        <v>107</v>
      </c>
      <c r="B1" s="27" t="s">
        <v>106</v>
      </c>
      <c r="D1" s="1" t="s">
        <v>0</v>
      </c>
      <c r="E1" s="1" t="s">
        <v>1</v>
      </c>
      <c r="F1" s="1" t="s">
        <v>2</v>
      </c>
      <c r="G1" s="2" t="s">
        <v>30</v>
      </c>
      <c r="H1" s="3" t="s">
        <v>31</v>
      </c>
      <c r="I1" s="4" t="s">
        <v>32</v>
      </c>
      <c r="J1" s="27" t="s">
        <v>105</v>
      </c>
    </row>
    <row r="2" spans="1:10" x14ac:dyDescent="0.2">
      <c r="B2" s="5">
        <v>9</v>
      </c>
      <c r="C2" s="27" t="s">
        <v>89</v>
      </c>
      <c r="D2" s="6" t="s">
        <v>3</v>
      </c>
      <c r="E2" s="6" t="s">
        <v>4</v>
      </c>
      <c r="F2" s="6" t="s">
        <v>5</v>
      </c>
      <c r="G2" s="7">
        <v>29237</v>
      </c>
      <c r="H2" s="9" t="s">
        <v>33</v>
      </c>
      <c r="I2" s="10" t="s">
        <v>66</v>
      </c>
      <c r="J2" s="28"/>
    </row>
    <row r="3" spans="1:10" ht="32" x14ac:dyDescent="0.2">
      <c r="A3" s="30" t="str">
        <f>CONCATENATE($A$1," SELECT '",B3,"' AS idUsuario, grado, id FROM materias WHERE grado LIKE '%PRIMARIA-5%' AND idBloque=2 ;")</f>
        <v>INSERT INTO permisos_boletas (idUsuario, grado, idMateria) SELECT '82' AS idUsuario, grado, id FROM materias WHERE grado LIKE '%PRIMARIA-5%' AND idBloque=2 ;</v>
      </c>
      <c r="B3" s="5">
        <v>82</v>
      </c>
      <c r="C3" s="27" t="s">
        <v>98</v>
      </c>
      <c r="D3" s="11" t="s">
        <v>74</v>
      </c>
      <c r="E3" s="11" t="s">
        <v>75</v>
      </c>
      <c r="F3" s="11" t="s">
        <v>76</v>
      </c>
      <c r="G3" s="12"/>
      <c r="H3" s="13" t="s">
        <v>77</v>
      </c>
      <c r="I3" s="14" t="s">
        <v>78</v>
      </c>
      <c r="J3" s="28" t="str">
        <f t="shared" ref="J3:J9" si="0">CONCATENATE($J$1,"'",D3," ",E3," ",F3,"', '",H3,"', SHA2('",I3,"', 512), NOW(), '0', '1', '1', '0', '0', '0' );")</f>
        <v>INSERT INTO usuarios_boletas(nombre, username, pwd, date_start, allow_edit, allow_add, allow_view, allow_materias, allow_publish, allow_admin) VALUES('ARTIE SERGYL  TAMEZ  MORENO', 'atamez', SHA2('5467DSF', 512), NOW(), '0', '1', '1', '0', '0', '0' );</v>
      </c>
    </row>
    <row r="4" spans="1:10" ht="32" x14ac:dyDescent="0.2">
      <c r="A4" s="30" t="str">
        <f>CONCATENATE($A$1," SELECT '",B4,"' AS idUsuario, grado, id FROM materias WHERE grado LIKE '%PRIMARIA-5%' AND (idBloque=1 OR idBloque=4) ;")</f>
        <v>INSERT INTO permisos_boletas (idUsuario, grado, idMateria) SELECT '83' AS idUsuario, grado, id FROM materias WHERE grado LIKE '%PRIMARIA-5%' AND (idBloque=1 OR idBloque=4) ;</v>
      </c>
      <c r="B4" s="5">
        <v>83</v>
      </c>
      <c r="C4" s="27" t="s">
        <v>100</v>
      </c>
      <c r="D4" s="6" t="s">
        <v>6</v>
      </c>
      <c r="E4" s="6" t="s">
        <v>7</v>
      </c>
      <c r="F4" s="6" t="s">
        <v>8</v>
      </c>
      <c r="G4" s="7">
        <v>22202</v>
      </c>
      <c r="H4" s="31" t="s">
        <v>46</v>
      </c>
      <c r="I4" s="8" t="s">
        <v>47</v>
      </c>
      <c r="J4" s="28" t="str">
        <f t="shared" si="0"/>
        <v>INSERT INTO usuarios_boletas(nombre, username, pwd, date_start, allow_edit, allow_add, allow_view, allow_materias, allow_publish, allow_admin) VALUES('BEATRIZ ALEJANDRE SAUCEDO', 'balejandre', SHA2('HJKRT5', 512), NOW(), '0', '1', '1', '0', '0', '0' );</v>
      </c>
    </row>
    <row r="5" spans="1:10" ht="32" x14ac:dyDescent="0.2">
      <c r="A5" s="30" t="str">
        <f>CONCATENATE($A$1," SELECT '",B5,"' AS idUsuario, grado, id FROM materias WHERE grado LIKE '%PRIMARIA-2%' AND (idBloque=1 OR idBloque=4) ;")</f>
        <v>INSERT INTO permisos_boletas (idUsuario, grado, idMateria) SELECT '84' AS idUsuario, grado, id FROM materias WHERE grado LIKE '%PRIMARIA-2%' AND (idBloque=1 OR idBloque=4) ;</v>
      </c>
      <c r="B5" s="5">
        <v>84</v>
      </c>
      <c r="C5" s="27" t="s">
        <v>93</v>
      </c>
      <c r="D5" s="6" t="s">
        <v>9</v>
      </c>
      <c r="E5" s="6" t="s">
        <v>10</v>
      </c>
      <c r="F5" s="6" t="s">
        <v>11</v>
      </c>
      <c r="G5" s="7">
        <v>30646</v>
      </c>
      <c r="H5" s="9" t="s">
        <v>34</v>
      </c>
      <c r="I5" s="10" t="s">
        <v>35</v>
      </c>
      <c r="J5" s="28" t="str">
        <f t="shared" si="0"/>
        <v>INSERT INTO usuarios_boletas(nombre, username, pwd, date_start, allow_edit, allow_add, allow_view, allow_materias, allow_publish, allow_admin) VALUES('CECILIA IVETTE ORTIZ DIAZ', 'cortiz', SHA2('93UEIA', 512), NOW(), '0', '1', '1', '0', '0', '0' );</v>
      </c>
    </row>
    <row r="6" spans="1:10" ht="32" x14ac:dyDescent="0.2">
      <c r="A6" s="30" t="str">
        <f>CONCATENATE($A$1," SELECT '",B6,"' AS idUsuario, grado, id FROM materias WHERE grado LIKE '%PRIMARIA-4%' AND idBloque=2 ;")</f>
        <v>INSERT INTO permisos_boletas (idUsuario, grado, idMateria) SELECT '85' AS idUsuario, grado, id FROM materias WHERE grado LIKE '%PRIMARIA-4%' AND idBloque=2 ;</v>
      </c>
      <c r="B6" s="5">
        <v>85</v>
      </c>
      <c r="C6" s="27" t="s">
        <v>96</v>
      </c>
      <c r="D6" s="6" t="s">
        <v>12</v>
      </c>
      <c r="E6" s="6" t="s">
        <v>13</v>
      </c>
      <c r="F6" s="6" t="s">
        <v>14</v>
      </c>
      <c r="G6" s="7">
        <v>26769</v>
      </c>
      <c r="H6" s="16" t="s">
        <v>36</v>
      </c>
      <c r="I6" s="17" t="s">
        <v>37</v>
      </c>
      <c r="J6" s="28" t="str">
        <f t="shared" si="0"/>
        <v>INSERT INTO usuarios_boletas(nombre, username, pwd, date_start, allow_edit, allow_add, allow_view, allow_materias, allow_publish, allow_admin) VALUES('CHANTAL BRETON CIRETT', 'cbreton', SHA2('O459ET', 512), NOW(), '0', '1', '1', '0', '0', '0' );</v>
      </c>
    </row>
    <row r="7" spans="1:10" ht="32" x14ac:dyDescent="0.2">
      <c r="A7" s="30" t="str">
        <f>CONCATENATE($A$1," SELECT '",B7,"' AS idUsuario, grado, id FROM materias WHERE grado LIKE '%PRIMARIA-3%' AND (idBloque=1 OR idBloque=4) ;")</f>
        <v>INSERT INTO permisos_boletas (idUsuario, grado, idMateria) SELECT '86' AS idUsuario, grado, id FROM materias WHERE grado LIKE '%PRIMARIA-3%' AND (idBloque=1 OR idBloque=4) ;</v>
      </c>
      <c r="B7" s="5">
        <v>86</v>
      </c>
      <c r="C7" s="27" t="s">
        <v>94</v>
      </c>
      <c r="D7" s="6" t="s">
        <v>52</v>
      </c>
      <c r="E7" s="6" t="s">
        <v>53</v>
      </c>
      <c r="F7" s="6" t="s">
        <v>54</v>
      </c>
      <c r="G7" s="7">
        <v>32440</v>
      </c>
      <c r="H7" s="9" t="s">
        <v>55</v>
      </c>
      <c r="I7" s="10" t="s">
        <v>56</v>
      </c>
      <c r="J7" s="28" t="str">
        <f t="shared" si="0"/>
        <v>INSERT INTO usuarios_boletas(nombre, username, pwd, date_start, allow_edit, allow_add, allow_view, allow_materias, allow_publish, allow_admin) VALUES('EDITH  ROJAS  CORTE', 'erojas', SHA2('O4FEFT', 512), NOW(), '0', '1', '1', '0', '0', '0' );</v>
      </c>
    </row>
    <row r="8" spans="1:10" ht="32" x14ac:dyDescent="0.2">
      <c r="A8" s="30" t="str">
        <f>CONCATENATE($A$1," SELECT '",B8,"' AS idUsuario, grado, id FROM materias WHERE grado LIKE '%PRIM%' AND nombre LIKE '%FRAN%' ;")</f>
        <v>INSERT INTO permisos_boletas (idUsuario, grado, idMateria) SELECT '87' AS idUsuario, grado, id FROM materias WHERE grado LIKE '%PRIM%' AND nombre LIKE '%FRAN%' ;</v>
      </c>
      <c r="B8" s="5">
        <v>87</v>
      </c>
      <c r="C8" s="27" t="s">
        <v>102</v>
      </c>
      <c r="D8" s="6" t="s">
        <v>57</v>
      </c>
      <c r="E8" s="6" t="s">
        <v>58</v>
      </c>
      <c r="F8" s="6"/>
      <c r="G8" s="7">
        <v>30543</v>
      </c>
      <c r="H8" s="18" t="s">
        <v>59</v>
      </c>
      <c r="I8" s="19" t="s">
        <v>60</v>
      </c>
      <c r="J8" s="28" t="str">
        <f t="shared" si="0"/>
        <v>INSERT INTO usuarios_boletas(nombre, username, pwd, date_start, allow_edit, allow_add, allow_view, allow_materias, allow_publish, allow_admin) VALUES('FAUSTIN  PIERRE  ', 'fpierre', SHA2('X925DS', 512), NOW(), '0', '1', '1', '0', '0', '0' );</v>
      </c>
    </row>
    <row r="9" spans="1:10" ht="32" x14ac:dyDescent="0.2">
      <c r="A9" s="30" t="str">
        <f>CONCATENATE($A$1," SELECT '",B9,"' AS idUsuario, grado, id FROM materias WHERE grado LIKE '%PRIMARIA-4%' AND (idBloque=1 OR idBloque=4) ;")</f>
        <v>INSERT INTO permisos_boletas (idUsuario, grado, idMateria) SELECT '88' AS idUsuario, grado, id FROM materias WHERE grado LIKE '%PRIMARIA-4%' AND (idBloque=1 OR idBloque=4) ;</v>
      </c>
      <c r="B9" s="5">
        <v>88</v>
      </c>
      <c r="C9" s="27" t="s">
        <v>99</v>
      </c>
      <c r="D9" s="11" t="s">
        <v>69</v>
      </c>
      <c r="E9" s="11" t="s">
        <v>70</v>
      </c>
      <c r="F9" s="11" t="s">
        <v>71</v>
      </c>
      <c r="G9" s="12"/>
      <c r="H9" s="13" t="s">
        <v>72</v>
      </c>
      <c r="I9" s="20" t="s">
        <v>73</v>
      </c>
      <c r="J9" s="28" t="str">
        <f t="shared" si="0"/>
        <v>INSERT INTO usuarios_boletas(nombre, username, pwd, date_start, allow_edit, allow_add, allow_view, allow_materias, allow_publish, allow_admin) VALUES('HILDA BERTA  ABURTO BOHNE', 'haburto', SHA2('F654DT', 512), NOW(), '0', '1', '1', '0', '0', '0' );</v>
      </c>
    </row>
    <row r="10" spans="1:10" ht="32" x14ac:dyDescent="0.2">
      <c r="A10" s="30" t="str">
        <f>CONCATENATE($A$1," SELECT '",B10,"' AS idUsuario, grado, id FROM materias WHERE grado LIKE '%PRIM%' AND nombre LIKE '%FISICA%' ;")</f>
        <v>INSERT INTO permisos_boletas (idUsuario, grado, idMateria) SELECT '76' AS idUsuario, grado, id FROM materias WHERE grado LIKE '%PRIM%' AND nombre LIKE '%FISICA%' ;</v>
      </c>
      <c r="B10" s="5">
        <v>76</v>
      </c>
      <c r="C10" s="27" t="s">
        <v>103</v>
      </c>
      <c r="D10" s="6" t="s">
        <v>17</v>
      </c>
      <c r="E10" s="6" t="s">
        <v>11</v>
      </c>
      <c r="F10" s="6" t="s">
        <v>18</v>
      </c>
      <c r="G10" s="7">
        <v>25300</v>
      </c>
      <c r="H10" s="9" t="s">
        <v>38</v>
      </c>
      <c r="I10" s="10" t="s">
        <v>39</v>
      </c>
      <c r="J10" s="28"/>
    </row>
    <row r="11" spans="1:10" ht="32" x14ac:dyDescent="0.2">
      <c r="A11" s="30" t="str">
        <f>CONCATENATE($A$1," SELECT '",B11,"' AS idUsuario, grado, id FROM materias WHERE grado LIKE '%PRIMARIA-6%' AND (idBloque=1 OR idBloque=4) ;")</f>
        <v>INSERT INTO permisos_boletas (idUsuario, grado, idMateria) SELECT '89' AS idUsuario, grado, id FROM materias WHERE grado LIKE '%PRIMARIA-6%' AND (idBloque=1 OR idBloque=4) ;</v>
      </c>
      <c r="B11" s="27">
        <v>89</v>
      </c>
      <c r="C11" s="27" t="s">
        <v>101</v>
      </c>
      <c r="D11" s="6" t="s">
        <v>19</v>
      </c>
      <c r="E11" s="6" t="s">
        <v>20</v>
      </c>
      <c r="F11" s="6" t="s">
        <v>21</v>
      </c>
      <c r="G11" s="7">
        <v>24745</v>
      </c>
      <c r="H11" s="9" t="s">
        <v>40</v>
      </c>
      <c r="I11" s="10" t="s">
        <v>41</v>
      </c>
      <c r="J11" s="28" t="str">
        <f>CONCATENATE($J$1,"'",D11," ",E11," ",F11,"', '",H11,"', SHA2('",I11,"', 512), NOW(), '0', '1', '1', '0', '0', '0' );")</f>
        <v>INSERT INTO usuarios_boletas(nombre, username, pwd, date_start, allow_edit, allow_add, allow_view, allow_materias, allow_publish, allow_admin) VALUES('LETICIA SANTOS ALVAREZ', 'lsantos', SHA2('REZ898', 512), NOW(), '0', '1', '1', '0', '0', '0' );</v>
      </c>
    </row>
    <row r="12" spans="1:10" ht="32" x14ac:dyDescent="0.2">
      <c r="A12" s="30" t="str">
        <f>CONCATENATE($A$1," SELECT '",B12,"' AS idUsuario, grado, id FROM materias WHERE grado LIKE '%PRIMARIA-2%' AND idBloque=2 ;")</f>
        <v>INSERT INTO permisos_boletas (idUsuario, grado, idMateria) SELECT '90' AS idUsuario, grado, id FROM materias WHERE grado LIKE '%PRIMARIA-2%' AND idBloque=2 ;</v>
      </c>
      <c r="B12" s="27">
        <v>90</v>
      </c>
      <c r="C12" s="27" t="s">
        <v>92</v>
      </c>
      <c r="D12" s="6" t="s">
        <v>22</v>
      </c>
      <c r="E12" s="6" t="s">
        <v>23</v>
      </c>
      <c r="F12" s="6" t="s">
        <v>16</v>
      </c>
      <c r="G12" s="7">
        <v>27445</v>
      </c>
      <c r="H12" s="9" t="s">
        <v>42</v>
      </c>
      <c r="I12" s="10" t="s">
        <v>43</v>
      </c>
      <c r="J12" s="28" t="str">
        <f>CONCATENATE($J$1,"'",D12," ",E12," ",F12,"', '",H12,"', SHA2('",I12,"', 512), NOW(), '0', '1', '1', '0', '0', '0' );")</f>
        <v>INSERT INTO usuarios_boletas(nombre, username, pwd, date_start, allow_edit, allow_add, allow_view, allow_materias, allow_publish, allow_admin) VALUES('LISSETTE MARTHA IBARRA RODRIGUEZ', 'libarra', SHA2('R54891', 512), NOW(), '0', '1', '1', '0', '0', '0' );</v>
      </c>
    </row>
    <row r="13" spans="1:10" ht="32" x14ac:dyDescent="0.2">
      <c r="A13" s="30" t="str">
        <f>CONCATENATE($A$1," SELECT '",B13,"' AS idUsuario, grado, id FROM materias WHERE grado LIKE '%PRIMARIA-3%' AND idBloque=2 ;")</f>
        <v>INSERT INTO permisos_boletas (idUsuario, grado, idMateria) SELECT '91' AS idUsuario, grado, id FROM materias WHERE grado LIKE '%PRIMARIA-3%' AND idBloque=2 ;</v>
      </c>
      <c r="B13" s="27">
        <v>91</v>
      </c>
      <c r="C13" s="27" t="s">
        <v>95</v>
      </c>
      <c r="D13" s="11" t="s">
        <v>86</v>
      </c>
      <c r="E13" s="11" t="s">
        <v>84</v>
      </c>
      <c r="F13" s="11" t="s">
        <v>85</v>
      </c>
      <c r="G13" s="12"/>
      <c r="H13" s="13" t="s">
        <v>87</v>
      </c>
      <c r="I13" s="14" t="s">
        <v>88</v>
      </c>
      <c r="J13" s="28" t="str">
        <f>CONCATENATE($J$1,"'",D13," ",E13," ",F13,"', '",H13,"', SHA2('",I13,"', 512), NOW(), '0', '1', '1', '0', '0', '0' );")</f>
        <v>INSERT INTO usuarios_boletas(nombre, username, pwd, date_start, allow_edit, allow_add, allow_view, allow_materias, allow_publish, allow_admin) VALUES('LUIS ALEJANDRO  GÁNDARA GODÍNEZ ', 'lgandara', SHA2('98YSLJ', 512), NOW(), '0', '1', '1', '0', '0', '0' );</v>
      </c>
    </row>
    <row r="14" spans="1:10" ht="32" x14ac:dyDescent="0.2">
      <c r="A14" s="30" t="str">
        <f>CONCATENATE($A$1," SELECT '",B14,"' AS idUsuario, grado, id FROM materias WHERE grado LIKE '%PRIM%' AND nombre LIKE '%FISICA%' ;")</f>
        <v>INSERT INTO permisos_boletas (idUsuario, grado, idMateria) SELECT '92' AS idUsuario, grado, id FROM materias WHERE grado LIKE '%PRIM%' AND nombre LIKE '%FISICA%' ;</v>
      </c>
      <c r="B14" s="27">
        <v>92</v>
      </c>
      <c r="C14" s="27" t="s">
        <v>103</v>
      </c>
      <c r="D14" s="22" t="s">
        <v>79</v>
      </c>
      <c r="E14" s="22" t="s">
        <v>80</v>
      </c>
      <c r="F14" s="22" t="s">
        <v>81</v>
      </c>
      <c r="G14" s="23"/>
      <c r="H14" s="22" t="s">
        <v>82</v>
      </c>
      <c r="I14" s="14" t="s">
        <v>83</v>
      </c>
      <c r="J14" s="28" t="str">
        <f>CONCATENATE($J$1,"'",D14," ",E14," ",F14,"', '",H14,"', SHA2('",I14,"', 512), NOW(), '0', '1', '1', '0', '0', '0' );")</f>
        <v>INSERT INTO usuarios_boletas(nombre, username, pwd, date_start, allow_edit, allow_add, allow_view, allow_materias, allow_publish, allow_admin) VALUES('LUIS RODRIGO  REYES  LEMUS', 'lreyes', SHA2('65ASD5', 512), NOW(), '0', '1', '1', '0', '0', '0' );</v>
      </c>
    </row>
    <row r="15" spans="1:10" ht="32" x14ac:dyDescent="0.2">
      <c r="A15" s="30" t="str">
        <f>CONCATENATE($A$1," SELECT '",B15,"' AS idUsuario, grado, id FROM materias WHERE grado LIKE '%PRIM%' AND nombre LIKE '%MUSICA%' ;")</f>
        <v>INSERT INTO permisos_boletas (idUsuario, grado, idMateria) SELECT '78' AS idUsuario, grado, id FROM materias WHERE grado LIKE '%PRIM%' AND nombre LIKE '%MUSICA%' ;</v>
      </c>
      <c r="B15" s="5">
        <v>78</v>
      </c>
      <c r="C15" s="27" t="s">
        <v>104</v>
      </c>
      <c r="D15" s="21" t="s">
        <v>67</v>
      </c>
      <c r="E15" s="21" t="s">
        <v>15</v>
      </c>
      <c r="F15" s="21" t="s">
        <v>49</v>
      </c>
      <c r="G15" s="15">
        <v>26991</v>
      </c>
      <c r="H15" s="21" t="s">
        <v>50</v>
      </c>
      <c r="I15" s="24" t="s">
        <v>68</v>
      </c>
      <c r="J15" s="28"/>
    </row>
    <row r="16" spans="1:10" ht="32" x14ac:dyDescent="0.2">
      <c r="A16" s="30" t="str">
        <f>CONCATENATE($A$1," SELECT '",B16,"' AS idUsuario, grado, id FROM materias WHERE grado LIKE '%PRIMARIA-6%' AND idBloque=2 ;")</f>
        <v>INSERT INTO permisos_boletas (idUsuario, grado, idMateria) SELECT '93' AS idUsuario, grado, id FROM materias WHERE grado LIKE '%PRIMARIA-6%' AND idBloque=2 ;</v>
      </c>
      <c r="B16" s="27">
        <v>93</v>
      </c>
      <c r="C16" s="27" t="s">
        <v>97</v>
      </c>
      <c r="D16" s="6" t="s">
        <v>24</v>
      </c>
      <c r="E16" s="6" t="s">
        <v>25</v>
      </c>
      <c r="F16" s="6" t="s">
        <v>26</v>
      </c>
      <c r="G16" s="7">
        <v>22477</v>
      </c>
      <c r="H16" s="9" t="s">
        <v>44</v>
      </c>
      <c r="I16" s="10" t="s">
        <v>45</v>
      </c>
      <c r="J16" s="28" t="str">
        <f>CONCATENATE($J$1,"'",D16," ",E16," ",F16,"', '",H16,"', SHA2('",I16,"', 512), NOW(), '0', '1', '1', '0', '0', '0' );")</f>
        <v>INSERT INTO usuarios_boletas(nombre, username, pwd, date_start, allow_edit, allow_add, allow_view, allow_materias, allow_publish, allow_admin) VALUES('MARCELA MIRIELA HUERTA BIBBINS', 'mhuerta', SHA2('RTRA22', 512), NOW(), '0', '1', '1', '0', '0', '0' );</v>
      </c>
    </row>
    <row r="17" spans="1:10" ht="32" x14ac:dyDescent="0.2">
      <c r="A17" s="30" t="str">
        <f>CONCATENATE($A$1," SELECT '",B17,"' AS idUsuario, grado, id FROM materias WHERE grado LIKE '%PRIMARIA-1%' AND idBloque=2 ;")</f>
        <v>INSERT INTO permisos_boletas (idUsuario, grado, idMateria) SELECT '94' AS idUsuario, grado, id FROM materias WHERE grado LIKE '%PRIMARIA-1%' AND idBloque=2 ;</v>
      </c>
      <c r="B17" s="27">
        <v>94</v>
      </c>
      <c r="C17" s="27" t="s">
        <v>90</v>
      </c>
      <c r="D17" s="6" t="s">
        <v>61</v>
      </c>
      <c r="E17" s="6" t="s">
        <v>62</v>
      </c>
      <c r="F17" s="6" t="s">
        <v>63</v>
      </c>
      <c r="G17" s="7">
        <v>30167</v>
      </c>
      <c r="H17" s="8" t="s">
        <v>64</v>
      </c>
      <c r="I17" s="8" t="s">
        <v>65</v>
      </c>
      <c r="J17" s="28" t="str">
        <f>CONCATENATE($J$1,"'",D17," ",E17," ",F17,"', '",H17,"', SHA2('",I17,"', 512), NOW(), '0', '1', '1', '0', '0', '0' );")</f>
        <v>INSERT INTO usuarios_boletas(nombre, username, pwd, date_start, allow_edit, allow_add, allow_view, allow_materias, allow_publish, allow_admin) VALUES('MICHELLE  CARPIO  GONZÁLEZ', 'mcarpio', SHA2('R6G46G', 512), NOW(), '0', '1', '1', '0', '0', '0' );</v>
      </c>
    </row>
    <row r="18" spans="1:10" ht="32" x14ac:dyDescent="0.2">
      <c r="A18" s="30" t="str">
        <f>CONCATENATE($A$1," SELECT '",B18,"' AS idUsuario, grado, id FROM materias WHERE grado LIKE '%PRIMARIA-1%' AND (idBloque=1 OR idBloque=4) ;")</f>
        <v>INSERT INTO permisos_boletas (idUsuario, grado, idMateria) SELECT '95' AS idUsuario, grado, id FROM materias WHERE grado LIKE '%PRIMARIA-1%' AND (idBloque=1 OR idBloque=4) ;</v>
      </c>
      <c r="B18" s="27">
        <v>95</v>
      </c>
      <c r="C18" s="27" t="s">
        <v>91</v>
      </c>
      <c r="D18" s="6" t="s">
        <v>27</v>
      </c>
      <c r="E18" s="6" t="s">
        <v>28</v>
      </c>
      <c r="F18" s="6" t="s">
        <v>29</v>
      </c>
      <c r="G18" s="7">
        <v>31069</v>
      </c>
      <c r="H18" s="8" t="s">
        <v>51</v>
      </c>
      <c r="I18" s="8" t="s">
        <v>48</v>
      </c>
      <c r="J18" s="28" t="str">
        <f>CONCATENATE($J$1,"'",D18," ",E18," ",F18,"', '",H18,"', SHA2('",I18,"', 512), NOW(), '0', '1', '1', '0', '0', '0' );")</f>
        <v>INSERT INTO usuarios_boletas(nombre, username, pwd, date_start, allow_edit, allow_add, allow_view, allow_materias, allow_publish, allow_admin) VALUES('SELENE JOSEFINA CORTÉS ARIZMENDI', 'scortes', SHA2('4YWFC', 512), NOW(), '0', '1', '1', '0', '0', '0' );</v>
      </c>
    </row>
    <row r="19" spans="1:10" ht="32" x14ac:dyDescent="0.2">
      <c r="A19" s="30" t="str">
        <f>CONCATENATE($A$1," SELECT '",B19,"' AS idUsuario, grado, id FROM materias WHERE grado LIKE '%PRIM%' AND nombre LIKE '%ROBOT%' ;")</f>
        <v>INSERT INTO permisos_boletas (idUsuario, grado, idMateria) SELECT '107' AS idUsuario, grado, id FROM materias WHERE grado LIKE '%PRIM%' AND nombre LIKE '%ROBOT%' ;</v>
      </c>
      <c r="B19" s="27">
        <v>107</v>
      </c>
      <c r="C19" s="27" t="s">
        <v>113</v>
      </c>
      <c r="D19" s="25" t="s">
        <v>108</v>
      </c>
      <c r="E19" s="25" t="s">
        <v>109</v>
      </c>
      <c r="F19" s="25" t="s">
        <v>110</v>
      </c>
      <c r="H19" s="25" t="s">
        <v>111</v>
      </c>
      <c r="I19" s="25" t="s">
        <v>112</v>
      </c>
      <c r="J19" s="28" t="str">
        <f>CONCATENATE($J$1,"'",D19," ",E19," ",F19,"', '",H19,"', SHA2('",I19,"', 512), NOW(), '0', '1', '1', '0', '0', '0' );")</f>
        <v>INSERT INTO usuarios_boletas(nombre, username, pwd, date_start, allow_edit, allow_add, allow_view, allow_materias, allow_publish, allow_admin) VALUES('KAREN ROSAS CRUZ', 'krosas', SHA2('UI546GD', 512), NOW(), '0', '1', '1', '0', '0', '0' );</v>
      </c>
    </row>
    <row r="20" spans="1:10" ht="32" x14ac:dyDescent="0.2">
      <c r="A20" s="30" t="str">
        <f>CONCATENATE($A$1," SELECT '",B20,"' AS idUsuario, grado, id FROM materias WHERE grado LIKE '%PRIM%' AND nombre LIKE '%BUS%' ;")</f>
        <v>INSERT INTO permisos_boletas (idUsuario, grado, idMateria) SELECT '110' AS idUsuario, grado, id FROM materias WHERE grado LIKE '%PRIM%' AND nombre LIKE '%BUS%' ;</v>
      </c>
      <c r="B20" s="27">
        <v>110</v>
      </c>
      <c r="C20" s="27" t="s">
        <v>114</v>
      </c>
      <c r="D20" s="25" t="s">
        <v>115</v>
      </c>
      <c r="E20" s="25" t="s">
        <v>18</v>
      </c>
      <c r="F20" s="25" t="s">
        <v>21</v>
      </c>
      <c r="H20" s="25" t="s">
        <v>116</v>
      </c>
      <c r="I20" s="25" t="s">
        <v>117</v>
      </c>
      <c r="J20" s="28" t="str">
        <f>CONCATENATE($J$1,"'",D20," ",E20," ",F20,"', '",H20,"', SHA2('",I20,"', 512), NOW(), '0', '1', '1', '0', '0', '0' );")</f>
        <v>INSERT INTO usuarios_boletas(nombre, username, pwd, date_start, allow_edit, allow_add, allow_view, allow_materias, allow_publish, allow_admin) VALUES('LORENA TORRES ALVAREZ', 'ltorres', SHA2('346FDS', 512), NOW(), '0', '1', '1', '0', '0', '0' );</v>
      </c>
    </row>
  </sheetData>
  <pageMargins left="0.75" right="0.75" top="1" bottom="1" header="0.5" footer="0.5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COLEGIO SPRINGFIELD S.C.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Orlando Gutierrez Zuñiga</dc:creator>
  <cp:lastModifiedBy>Usuario de Microsoft Office</cp:lastModifiedBy>
  <cp:lastPrinted>2017-10-16T19:07:49Z</cp:lastPrinted>
  <dcterms:created xsi:type="dcterms:W3CDTF">2014-08-18T14:07:32Z</dcterms:created>
  <dcterms:modified xsi:type="dcterms:W3CDTF">2017-11-03T22:14:59Z</dcterms:modified>
</cp:coreProperties>
</file>